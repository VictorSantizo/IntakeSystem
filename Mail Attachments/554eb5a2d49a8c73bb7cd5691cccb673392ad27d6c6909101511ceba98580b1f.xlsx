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535a873983e91ccc/Documents/Sales/Karen Lacks and Co/"/>
    </mc:Choice>
  </mc:AlternateContent>
  <xr:revisionPtr revIDLastSave="0" documentId="8_{E7883879-F2B6-4577-8CF1-BE975A44BE7D}" xr6:coauthVersionLast="47" xr6:coauthVersionMax="47" xr10:uidLastSave="{00000000-0000-0000-0000-000000000000}"/>
  <bookViews>
    <workbookView xWindow="3510" yWindow="3510" windowWidth="21600" windowHeight="11295" xr2:uid="{C936B9DA-62DE-483B-8047-0C49D798EDB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3" i="1" l="1"/>
  <c r="B22" i="1"/>
  <c r="B21" i="1"/>
  <c r="B20" i="1"/>
  <c r="B19" i="1"/>
  <c r="B18" i="1"/>
  <c r="C22" i="1"/>
  <c r="C21" i="1"/>
  <c r="C20" i="1"/>
  <c r="C19" i="1"/>
  <c r="C18" i="1"/>
  <c r="E5" i="1"/>
  <c r="E6" i="1"/>
  <c r="E8" i="1"/>
  <c r="E7" i="1"/>
  <c r="E4" i="1"/>
</calcChain>
</file>

<file path=xl/sharedStrings.xml><?xml version="1.0" encoding="utf-8"?>
<sst xmlns="http://schemas.openxmlformats.org/spreadsheetml/2006/main" count="18" uniqueCount="17">
  <si>
    <t># of Units</t>
  </si>
  <si>
    <t>Price Per Unit</t>
  </si>
  <si>
    <t>Active on the Market</t>
  </si>
  <si>
    <t>Status</t>
  </si>
  <si>
    <t>Not on the Market</t>
  </si>
  <si>
    <t xml:space="preserve">Price </t>
  </si>
  <si>
    <t>Price Per Unit Comparison</t>
  </si>
  <si>
    <t>If you are to determine list price for the subject property by price per unit for the top three best matching properties the list price/value is reflected below:</t>
  </si>
  <si>
    <t>289 Ellwood Beach Drive</t>
  </si>
  <si>
    <t>23 Magnolia Avenue</t>
  </si>
  <si>
    <t>6523 Trigo Road</t>
  </si>
  <si>
    <t>6597 Trigo Road</t>
  </si>
  <si>
    <t>$4,095,000 (LIST PRICE)</t>
  </si>
  <si>
    <t>6588 Segovia Road</t>
  </si>
  <si>
    <t xml:space="preserve">Upon evaluating the price per unit of the comparable properties, I have determined, based on price per unit,the  top three properties that best match the subject property are:  6523 Triago Road, 6597 Triago Road and 6588 Segovia. They are the most similar in age, amenties and size of the units. The other noted comparable properties are higher value per unit because they are larger units, newer construction buildings and have other complex amenities. </t>
  </si>
  <si>
    <t>289 Ellwood Beach Drive  PPU 12 Units</t>
  </si>
  <si>
    <t>Value as of 3/24/26 $4,675,000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</si>
</sst>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6" fontId="0" fillId="0" borderId="0" xfId="0" applyNumberFormat="1"/>
    <xf numFmtId="6" fontId="1" fillId="0" borderId="0" xfId="0" applyNumberFormat="1" applyFont="1"/>
    <xf numFmtId="0" fontId="1" fillId="0" borderId="0" xfId="0" applyFont="1" applyAlignment="1">
      <alignment horizontal="right"/>
    </xf>
    <xf numFmtId="0" fontId="1" fillId="0" borderId="0" xfId="0" applyFont="1" applyAlignment="1">
      <alignment wrapText="1"/>
    </xf>
    <xf numFmtId="14" fontId="0" fillId="0" borderId="0" xfId="0" applyNumberFormat="1"/>
    <xf numFmtId="6" fontId="0" fillId="0" borderId="0" xfId="0" applyNumberFormat="1" applyAlignment="1">
      <alignment horizontal="right"/>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C6CFB-8496-4EC5-9390-F3896F329E72}">
  <sheetPr>
    <pageSetUpPr fitToPage="1"/>
  </sheetPr>
  <dimension ref="A1:F22"/>
  <sheetViews>
    <sheetView tabSelected="1" workbookViewId="0">
      <selection activeCell="F4" sqref="F4"/>
    </sheetView>
  </sheetViews>
  <sheetFormatPr defaultRowHeight="15" x14ac:dyDescent="0.25"/>
  <cols>
    <col min="1" max="1" width="35" customWidth="1"/>
    <col min="2" max="2" width="20.140625" customWidth="1"/>
    <col min="3" max="3" width="28.140625" customWidth="1"/>
    <col min="4" max="4" width="10.85546875" customWidth="1"/>
    <col min="5" max="5" width="14.28515625" customWidth="1"/>
    <col min="6" max="6" width="19.140625" customWidth="1"/>
  </cols>
  <sheetData>
    <row r="1" spans="1:6" ht="15.75" customHeight="1" x14ac:dyDescent="0.25"/>
    <row r="2" spans="1:6" s="1" customFormat="1" x14ac:dyDescent="0.25">
      <c r="A2" s="1" t="s">
        <v>6</v>
      </c>
      <c r="B2" s="1" t="s">
        <v>3</v>
      </c>
      <c r="C2" s="1" t="s">
        <v>5</v>
      </c>
      <c r="D2" s="1" t="s">
        <v>0</v>
      </c>
      <c r="E2" s="1" t="s">
        <v>1</v>
      </c>
    </row>
    <row r="3" spans="1:6" s="1" customFormat="1" x14ac:dyDescent="0.25">
      <c r="A3" s="1" t="s">
        <v>8</v>
      </c>
      <c r="B3" s="1" t="s">
        <v>4</v>
      </c>
      <c r="C3" s="4" t="s">
        <v>16</v>
      </c>
      <c r="D3" s="1">
        <v>12</v>
      </c>
      <c r="E3" s="3">
        <f>4675000/12</f>
        <v>389583.33333333331</v>
      </c>
    </row>
    <row r="4" spans="1:6" x14ac:dyDescent="0.25">
      <c r="A4" t="s">
        <v>9</v>
      </c>
      <c r="B4" t="s">
        <v>2</v>
      </c>
      <c r="C4" s="2">
        <v>4425000</v>
      </c>
      <c r="D4">
        <v>5</v>
      </c>
      <c r="E4" s="2">
        <f t="shared" ref="E4:E8" si="0">C4/D4</f>
        <v>885000</v>
      </c>
      <c r="F4" s="2"/>
    </row>
    <row r="5" spans="1:6" x14ac:dyDescent="0.25">
      <c r="A5" t="s">
        <v>10</v>
      </c>
      <c r="B5" s="6">
        <v>45597</v>
      </c>
      <c r="C5" s="2">
        <v>4275000</v>
      </c>
      <c r="D5">
        <v>8</v>
      </c>
      <c r="E5" s="2">
        <f>C5/D5</f>
        <v>534375</v>
      </c>
      <c r="F5" s="2"/>
    </row>
    <row r="6" spans="1:6" x14ac:dyDescent="0.25">
      <c r="A6" t="s">
        <v>11</v>
      </c>
      <c r="B6" s="6">
        <v>46139</v>
      </c>
      <c r="C6" s="7" t="s">
        <v>12</v>
      </c>
      <c r="D6">
        <v>10</v>
      </c>
      <c r="E6" s="2">
        <f>F6/10</f>
        <v>409500</v>
      </c>
      <c r="F6" s="2">
        <v>4095000</v>
      </c>
    </row>
    <row r="7" spans="1:6" x14ac:dyDescent="0.25">
      <c r="A7" t="s">
        <v>9</v>
      </c>
      <c r="B7" s="6">
        <v>46097</v>
      </c>
      <c r="C7" s="2">
        <v>5400000</v>
      </c>
      <c r="D7">
        <v>19</v>
      </c>
      <c r="E7" s="2">
        <f t="shared" si="0"/>
        <v>284210.5263157895</v>
      </c>
      <c r="F7" s="2"/>
    </row>
    <row r="8" spans="1:6" x14ac:dyDescent="0.25">
      <c r="A8" t="s">
        <v>13</v>
      </c>
      <c r="B8" s="6">
        <v>45986</v>
      </c>
      <c r="C8" s="2">
        <v>4350000</v>
      </c>
      <c r="D8">
        <v>14</v>
      </c>
      <c r="E8" s="2">
        <f t="shared" si="0"/>
        <v>310714.28571428574</v>
      </c>
      <c r="F8" s="2"/>
    </row>
    <row r="9" spans="1:6" x14ac:dyDescent="0.25">
      <c r="B9" s="6"/>
      <c r="C9" s="2"/>
      <c r="E9" s="2"/>
      <c r="F9" s="2"/>
    </row>
    <row r="10" spans="1:6" x14ac:dyDescent="0.25">
      <c r="C10" s="2"/>
      <c r="E10" s="2"/>
      <c r="F10" s="2"/>
    </row>
    <row r="11" spans="1:6" x14ac:dyDescent="0.25">
      <c r="C11" s="2"/>
      <c r="E11" s="2"/>
      <c r="F11" s="2"/>
    </row>
    <row r="13" spans="1:6" x14ac:dyDescent="0.25">
      <c r="A13" s="8" t="s">
        <v>14</v>
      </c>
      <c r="B13" s="8"/>
      <c r="C13" s="8"/>
      <c r="D13" s="8"/>
      <c r="E13" s="8"/>
    </row>
    <row r="14" spans="1:6" ht="57.75" customHeight="1" x14ac:dyDescent="0.25">
      <c r="A14" s="8"/>
      <c r="B14" s="8"/>
      <c r="C14" s="8"/>
      <c r="D14" s="8"/>
      <c r="E14" s="8"/>
    </row>
    <row r="16" spans="1:6" ht="31.5" customHeight="1" x14ac:dyDescent="0.25">
      <c r="A16" s="8" t="s">
        <v>7</v>
      </c>
      <c r="B16" s="8"/>
      <c r="C16" s="8"/>
      <c r="D16" s="8"/>
      <c r="E16" s="8"/>
    </row>
    <row r="18" spans="1:3" ht="30" x14ac:dyDescent="0.25">
      <c r="A18" s="5" t="s">
        <v>15</v>
      </c>
      <c r="B18" s="2">
        <f>E4</f>
        <v>885000</v>
      </c>
      <c r="C18" s="2">
        <f>12*E4</f>
        <v>10620000</v>
      </c>
    </row>
    <row r="19" spans="1:3" x14ac:dyDescent="0.25">
      <c r="A19" s="5"/>
      <c r="B19" s="2">
        <f>E5</f>
        <v>534375</v>
      </c>
      <c r="C19" s="2">
        <f>12*E5</f>
        <v>6412500</v>
      </c>
    </row>
    <row r="20" spans="1:3" x14ac:dyDescent="0.25">
      <c r="A20" s="5"/>
      <c r="B20" s="2">
        <f>E6</f>
        <v>409500</v>
      </c>
      <c r="C20" s="2">
        <f>12*E6</f>
        <v>4914000</v>
      </c>
    </row>
    <row r="21" spans="1:3" x14ac:dyDescent="0.25">
      <c r="B21" s="2">
        <f>E7</f>
        <v>284210.5263157895</v>
      </c>
      <c r="C21" s="2">
        <f>12*E7</f>
        <v>3410526.3157894742</v>
      </c>
    </row>
    <row r="22" spans="1:3" x14ac:dyDescent="0.25">
      <c r="B22" s="2">
        <f>E8</f>
        <v>310714.28571428574</v>
      </c>
      <c r="C22" s="2">
        <f>12*E8</f>
        <v>3728571.4285714291</v>
      </c>
    </row>
  </sheetData>
  <sortState xmlns:xlrd2="http://schemas.microsoft.com/office/spreadsheetml/2017/richdata2" ref="A4:E11">
    <sortCondition ref="E4:E11"/>
  </sortState>
  <mergeCells count="2">
    <mergeCell ref="A13:E14"/>
    <mergeCell ref="A16:E16"/>
  </mergeCells>
  <pageMargins left="0.7" right="0.7" top="0.75" bottom="0.75" header="0.3" footer="0.3"/>
  <pageSetup scale="83"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Ruth Eggli</dc:creator>
  <cp:lastModifiedBy>Ruth Eggli</cp:lastModifiedBy>
  <cp:lastPrinted>2026-05-06T18:39:21Z</cp:lastPrinted>
  <dcterms:created xsi:type="dcterms:W3CDTF">2026-05-06T17:18:57Z</dcterms:created>
  <dcterms:modified xsi:type="dcterms:W3CDTF">2026-06-04T14:23:55Z</dcterms:modified>
</cp:coreProperties>
</file>